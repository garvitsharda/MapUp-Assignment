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garvit\Desktop\MapUp-DA-Assessment-2024\submissions\"/>
    </mc:Choice>
  </mc:AlternateContent>
  <xr:revisionPtr revIDLastSave="0" documentId="8_{BC80B677-8510-41F6-A35E-53FD432EF80B}" xr6:coauthVersionLast="47" xr6:coauthVersionMax="47" xr10:uidLastSave="{00000000-0000-0000-0000-000000000000}"/>
  <bookViews>
    <workbookView xWindow="-108" yWindow="-108" windowWidth="23256" windowHeight="12456" tabRatio="849" activeTab="5"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fileRecoveryPr repairLoad="1"/>
</workbook>
</file>

<file path=xl/calcChain.xml><?xml version="1.0" encoding="utf-8"?>
<calcChain xmlns="http://schemas.openxmlformats.org/spreadsheetml/2006/main">
  <c r="F30" i="18" l="1"/>
  <c r="E30" i="18"/>
  <c r="D30" i="18"/>
  <c r="C30" i="18"/>
  <c r="B30" i="18"/>
  <c r="F29" i="18"/>
  <c r="E29" i="18"/>
  <c r="D29" i="18"/>
  <c r="C29" i="18"/>
  <c r="B29" i="18"/>
  <c r="F28" i="18"/>
  <c r="E28" i="18"/>
  <c r="D28" i="18"/>
  <c r="C28" i="18"/>
  <c r="B28" i="18"/>
  <c r="C22" i="19"/>
  <c r="H42" i="1"/>
</calcChain>
</file>

<file path=xl/sharedStrings.xml><?xml version="1.0" encoding="utf-8"?>
<sst xmlns="http://schemas.openxmlformats.org/spreadsheetml/2006/main" count="405" uniqueCount="183">
  <si>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</si>
  <si>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</si>
  <si>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</si>
  <si>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</si>
  <si>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</si>
  <si>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</si>
  <si>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</si>
  <si>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</si>
  <si>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</si>
  <si>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</si>
  <si>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</si>
  <si>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</si>
  <si>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</si>
  <si>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</si>
  <si>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</si>
  <si>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</si>
  <si>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</si>
  <si>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</si>
  <si>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</si>
  <si>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</si>
  <si>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</si>
  <si>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</si>
  <si>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</si>
  <si>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</si>
  <si>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</si>
  <si>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</si>
  <si>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</si>
  <si>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</si>
  <si>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</si>
  <si>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</si>
  <si>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</si>
  <si>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</si>
  <si>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</si>
  <si>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</si>
  <si>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</si>
  <si>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</si>
  <si>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</si>
  <si>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</si>
  <si>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</si>
  <si>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</si>
  <si>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</si>
  <si>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</si>
  <si>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</si>
  <si>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</si>
  <si>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</si>
  <si>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</si>
  <si>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</si>
  <si>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</si>
  <si>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</si>
  <si>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</si>
  <si>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</si>
  <si>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</si>
  <si>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</si>
  <si>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</si>
  <si>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</si>
  <si>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</si>
  <si>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</si>
  <si>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</si>
  <si>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</si>
  <si>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</si>
  <si>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</si>
  <si>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</si>
  <si>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</si>
  <si>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</si>
  <si>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</si>
  <si>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</si>
  <si>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</si>
  <si>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</si>
  <si>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</si>
  <si>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</si>
  <si>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</si>
  <si>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</si>
  <si>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</si>
  <si>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</si>
  <si>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</si>
  <si>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</si>
  <si>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</si>
  <si>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</si>
  <si>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</si>
  <si>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</si>
  <si>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</si>
  <si>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</si>
  <si>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</si>
  <si>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</si>
  <si>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</si>
  <si>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</si>
  <si>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</si>
  <si>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</si>
  <si>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</si>
  <si>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</si>
  <si>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</si>
  <si>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</si>
  <si>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</si>
  <si>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</si>
  <si>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</si>
  <si>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</si>
  <si>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</si>
  <si>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</si>
  <si>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</si>
  <si>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</si>
  <si>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</si>
  <si>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</si>
  <si>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</si>
  <si>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</si>
  <si>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</si>
  <si>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</si>
  <si>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</si>
  <si>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</si>
  <si>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</si>
  <si>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</si>
  <si>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</si>
  <si>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</si>
  <si>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</si>
  <si>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</si>
  <si>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</si>
  <si>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</si>
  <si>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</si>
  <si>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</si>
  <si>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</si>
  <si>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</si>
  <si>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</si>
  <si>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</si>
  <si>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</si>
  <si>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</si>
  <si>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</si>
  <si>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</si>
  <si>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</si>
  <si>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</si>
  <si>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</si>
  <si>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</si>
  <si>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</si>
  <si>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</si>
  <si>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</si>
  <si>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</si>
  <si>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</si>
  <si>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</si>
  <si>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</si>
  <si>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</si>
  <si>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</si>
  <si>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</si>
  <si>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</si>
  <si>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</si>
  <si>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</si>
  <si>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</si>
  <si>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</si>
  <si>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</si>
  <si>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</si>
  <si>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</si>
  <si>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</si>
  <si>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</si>
  <si>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</si>
  <si>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</si>
  <si>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</si>
  <si>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</si>
  <si>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</si>
  <si>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</si>
  <si>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</si>
  <si>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</si>
  <si>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</si>
  <si>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</si>
  <si>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</si>
  <si>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</si>
  <si>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</si>
  <si>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</si>
  <si>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</si>
  <si>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</si>
  <si>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</si>
  <si>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</si>
  <si>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</si>
  <si>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</si>
  <si>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</si>
  <si>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</si>
  <si>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</si>
  <si>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</si>
  <si>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</si>
  <si>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</si>
  <si>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</si>
  <si>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SUMIF(H2:H40, "&gt;20")</t>
  </si>
  <si>
    <t>SUMIF(C12:C21, "&lt;&gt;#N/A", C12:C21) + COUNTIF(C12:C21, "#N/A") * 20</t>
  </si>
  <si>
    <t>The formula combines SUMIF to sum valid sales values and COUNTIF to count #N/A values, replacing each with 20, to calculate the total sales.</t>
  </si>
  <si>
    <t>Using Text to Columns</t>
  </si>
  <si>
    <t>1. Select the cells with the values you want to split.
2. Go to the Data tab in Excel.
3. Click on Text to Columns.
4. Choose Delimited and click Next.
5. In the delimiters, check the box for Other and type a hyphen (-) and Click Finish.
This will split the values into separate columns based on the hyphen delimiter.</t>
  </si>
  <si>
    <t>Explaination: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</si>
</sst>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xf numFmtId="0" fontId="13" fillId="0" borderId="0" xfId="0" applyFont="1" applyAlignment="1">
      <alignment vertical="center"/>
    </xf>
    <xf numFmtId="0" fontId="3" fillId="0" borderId="0" xfId="0" applyFont="1" applyAlignment="1">
      <alignment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zoomScaleNormal="100" workbookViewId="0">
      <pane ySplit="1" topLeftCell="A42" activePane="bottomLeft" state="frozen"/>
      <selection pane="bottomLeft" activeCell="H22" sqref="H22"/>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2" spans="1:24" x14ac:dyDescent="0.3">
      <c r="H42" s="1">
        <f>SUMIF(H2:H40, "&gt;20")</f>
        <v>1473.0000000000002</v>
      </c>
    </row>
  </sheetData>
  <conditionalFormatting sqref="A1:A1048576">
    <cfRule type="duplicateValues" dxfId="3" priority="4"/>
  </conditionalFormatting>
  <conditionalFormatting sqref="B1:B1048576">
    <cfRule type="duplicateValues" dxfId="2" priority="3"/>
  </conditionalFormatting>
  <conditionalFormatting sqref="A1:C40 E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9" sqref="B9"/>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t="s">
        <v>177</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80" zoomScaleNormal="80" workbookViewId="0">
      <selection activeCell="H20" sqref="H20"/>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v>2.7</v>
      </c>
      <c r="C6" s="12">
        <v>7.6</v>
      </c>
      <c r="D6" s="12">
        <v>4.2</v>
      </c>
      <c r="E6" s="12">
        <v>7.6</v>
      </c>
      <c r="F6" s="8">
        <v>3.6</v>
      </c>
    </row>
    <row r="7" spans="1:7" ht="14.4" x14ac:dyDescent="0.3">
      <c r="A7" s="7" t="s">
        <v>4</v>
      </c>
      <c r="B7" s="12">
        <v>2.7</v>
      </c>
      <c r="C7" s="12">
        <v>7.6</v>
      </c>
      <c r="D7" s="12">
        <v>4.2</v>
      </c>
      <c r="E7" s="12">
        <v>7.6</v>
      </c>
      <c r="F7" s="8">
        <v>3.6</v>
      </c>
    </row>
    <row r="8" spans="1:7" ht="14.4" x14ac:dyDescent="0.3">
      <c r="A8" s="7" t="s">
        <v>7</v>
      </c>
      <c r="B8" s="12">
        <v>3.6</v>
      </c>
      <c r="C8" s="12">
        <v>11.1</v>
      </c>
      <c r="D8" s="12">
        <v>5.8</v>
      </c>
      <c r="E8" s="12">
        <v>11.1</v>
      </c>
      <c r="F8" s="8">
        <v>5.4</v>
      </c>
    </row>
    <row r="9" spans="1:7" ht="14.4" x14ac:dyDescent="0.3">
      <c r="A9" s="7" t="s">
        <v>8</v>
      </c>
      <c r="B9" s="12">
        <v>4.9000000000000004</v>
      </c>
      <c r="C9" s="12">
        <v>13.3</v>
      </c>
      <c r="D9" s="12">
        <v>8.1</v>
      </c>
      <c r="E9" s="12">
        <v>13.3</v>
      </c>
      <c r="F9" s="8">
        <v>6.6</v>
      </c>
    </row>
    <row r="10" spans="1:7" ht="14.4" x14ac:dyDescent="0.3">
      <c r="A10" s="7" t="s">
        <v>11</v>
      </c>
      <c r="B10" s="12">
        <v>9.4</v>
      </c>
      <c r="C10" s="12">
        <v>28.3</v>
      </c>
      <c r="D10" s="12">
        <v>16.100000000000001</v>
      </c>
      <c r="E10" s="12">
        <v>28.3</v>
      </c>
      <c r="F10" s="8">
        <v>13.8</v>
      </c>
    </row>
    <row r="11" spans="1:7" ht="14.4" x14ac:dyDescent="0.3">
      <c r="A11" s="7" t="s">
        <v>12</v>
      </c>
      <c r="B11" s="12">
        <v>11.6</v>
      </c>
      <c r="C11" s="12">
        <v>35.200000000000003</v>
      </c>
      <c r="D11" s="12">
        <v>21.3</v>
      </c>
      <c r="E11" s="12">
        <v>35.200000000000003</v>
      </c>
      <c r="F11" s="8">
        <v>17.3</v>
      </c>
    </row>
    <row r="12" spans="1:7" ht="14.4" x14ac:dyDescent="0.3">
      <c r="A12" s="7" t="s">
        <v>14</v>
      </c>
      <c r="B12" s="12">
        <v>18.399999999999999</v>
      </c>
      <c r="C12" s="12">
        <v>55.6</v>
      </c>
      <c r="D12" s="12">
        <v>33.799999999999997</v>
      </c>
      <c r="E12" s="12">
        <v>55.6</v>
      </c>
      <c r="F12" s="8">
        <v>27.5</v>
      </c>
    </row>
    <row r="13" spans="1:7" ht="14.4" x14ac:dyDescent="0.3">
      <c r="A13" s="7" t="s">
        <v>15</v>
      </c>
      <c r="B13" s="12">
        <v>0</v>
      </c>
      <c r="C13" s="12">
        <v>0</v>
      </c>
      <c r="D13" s="12">
        <v>0</v>
      </c>
      <c r="E13" s="12">
        <v>0</v>
      </c>
      <c r="F13" s="8">
        <v>0</v>
      </c>
    </row>
    <row r="14" spans="1:7" ht="14.4" x14ac:dyDescent="0.3">
      <c r="A14" s="7" t="s">
        <v>16</v>
      </c>
      <c r="B14" s="12">
        <v>21.9</v>
      </c>
      <c r="C14" s="12">
        <v>61.5</v>
      </c>
      <c r="D14" s="12">
        <v>40.1</v>
      </c>
      <c r="E14" s="12">
        <v>61.5</v>
      </c>
      <c r="F14" s="8">
        <v>32.1</v>
      </c>
    </row>
    <row r="15" spans="1:7" ht="14.4" x14ac:dyDescent="0.3">
      <c r="A15" s="7" t="s">
        <v>18</v>
      </c>
      <c r="B15" s="12">
        <v>26.8</v>
      </c>
      <c r="C15" s="12">
        <v>79.599999999999994</v>
      </c>
      <c r="D15" s="12">
        <v>47.9</v>
      </c>
      <c r="E15" s="12">
        <v>79.599999999999994</v>
      </c>
      <c r="F15" s="8">
        <v>39.299999999999997</v>
      </c>
    </row>
    <row r="16" spans="1:7" ht="14.4" x14ac:dyDescent="0.3">
      <c r="A16" s="7" t="s">
        <v>20</v>
      </c>
      <c r="B16" s="12">
        <v>28.5</v>
      </c>
      <c r="C16" s="12">
        <v>85.4</v>
      </c>
      <c r="D16" s="12">
        <v>52.3</v>
      </c>
      <c r="E16" s="12">
        <v>85.4</v>
      </c>
      <c r="F16" s="8">
        <v>42.3</v>
      </c>
    </row>
    <row r="17" spans="1:6" ht="14.4" x14ac:dyDescent="0.3">
      <c r="A17" s="7" t="s">
        <v>22</v>
      </c>
      <c r="B17" s="12">
        <v>30.7</v>
      </c>
      <c r="C17" s="12">
        <v>92.1</v>
      </c>
      <c r="D17" s="12">
        <v>57</v>
      </c>
      <c r="E17" s="12">
        <v>92.1</v>
      </c>
      <c r="F17" s="8">
        <v>45.5</v>
      </c>
    </row>
    <row r="18" spans="1:6" ht="14.4" x14ac:dyDescent="0.3">
      <c r="A18" s="7" t="s">
        <v>23</v>
      </c>
      <c r="B18" s="12">
        <v>33.799999999999997</v>
      </c>
      <c r="C18" s="12">
        <v>101.3</v>
      </c>
      <c r="D18" s="12">
        <v>61.4</v>
      </c>
      <c r="E18" s="12">
        <v>101.3</v>
      </c>
      <c r="F18" s="8">
        <v>50.1</v>
      </c>
    </row>
    <row r="19" spans="1:6" ht="14.4" x14ac:dyDescent="0.3">
      <c r="A19" s="7" t="s">
        <v>24</v>
      </c>
      <c r="B19" s="12">
        <v>34.700000000000003</v>
      </c>
      <c r="C19" s="12">
        <v>106.1</v>
      </c>
      <c r="D19" s="12">
        <v>63.6</v>
      </c>
      <c r="E19" s="12">
        <v>106.1</v>
      </c>
      <c r="F19" s="8">
        <v>52.3</v>
      </c>
    </row>
    <row r="20" spans="1:6" ht="14.4" x14ac:dyDescent="0.3">
      <c r="A20" s="7" t="s">
        <v>28</v>
      </c>
      <c r="B20" s="12">
        <v>0</v>
      </c>
      <c r="C20" s="12">
        <v>0</v>
      </c>
      <c r="D20" s="12">
        <v>0</v>
      </c>
      <c r="E20" s="12">
        <v>0</v>
      </c>
      <c r="F20" s="8">
        <v>0</v>
      </c>
    </row>
    <row r="21" spans="1:6" ht="14.4" x14ac:dyDescent="0.3">
      <c r="A21" s="7" t="s">
        <v>57</v>
      </c>
      <c r="B21" s="12">
        <v>41.3</v>
      </c>
      <c r="C21" s="12">
        <v>124.4</v>
      </c>
      <c r="D21" s="12">
        <v>75</v>
      </c>
      <c r="E21" s="12">
        <v>124.4</v>
      </c>
      <c r="F21" s="8">
        <v>61.4</v>
      </c>
    </row>
    <row r="22" spans="1:6" ht="14.4" x14ac:dyDescent="0.3">
      <c r="A22" s="7" t="s">
        <v>58</v>
      </c>
      <c r="B22" s="12">
        <v>-1</v>
      </c>
      <c r="C22" s="12">
        <v>-1</v>
      </c>
      <c r="D22" s="12">
        <v>-1</v>
      </c>
      <c r="E22" s="12">
        <v>-1</v>
      </c>
      <c r="F22" s="8">
        <v>-1</v>
      </c>
    </row>
    <row r="23" spans="1:6" ht="14.4" x14ac:dyDescent="0.3">
      <c r="A23" s="7" t="s">
        <v>31</v>
      </c>
      <c r="B23" s="12">
        <v>45</v>
      </c>
      <c r="C23" s="12">
        <v>133.4</v>
      </c>
      <c r="D23" s="12">
        <v>79.400000000000006</v>
      </c>
      <c r="E23" s="12">
        <v>133.4</v>
      </c>
      <c r="F23" s="8">
        <v>65.900000000000006</v>
      </c>
    </row>
    <row r="24" spans="1:6" ht="14.4" x14ac:dyDescent="0.3">
      <c r="A24" s="7" t="s">
        <v>32</v>
      </c>
      <c r="B24" s="12">
        <v>-1</v>
      </c>
      <c r="C24" s="12">
        <v>-1</v>
      </c>
      <c r="D24" s="12">
        <v>-1</v>
      </c>
      <c r="E24" s="12">
        <v>-1</v>
      </c>
      <c r="F24" s="8">
        <v>-1</v>
      </c>
    </row>
    <row r="25" spans="1:6" ht="14.4" x14ac:dyDescent="0.3">
      <c r="A25" s="7" t="s">
        <v>34</v>
      </c>
      <c r="B25" s="12">
        <v>43.3</v>
      </c>
      <c r="C25" s="12">
        <v>128.6</v>
      </c>
      <c r="D25" s="12">
        <v>79.400000000000006</v>
      </c>
      <c r="E25" s="12">
        <v>128.6</v>
      </c>
      <c r="F25" s="8">
        <v>63.6</v>
      </c>
    </row>
    <row r="26" spans="1:6" ht="14.4" x14ac:dyDescent="0.3">
      <c r="A26" s="7" t="s">
        <v>37</v>
      </c>
      <c r="B26" s="12">
        <v>49.1</v>
      </c>
      <c r="C26" s="12">
        <v>146.80000000000001</v>
      </c>
      <c r="D26" s="12">
        <v>90.9</v>
      </c>
      <c r="E26" s="12">
        <v>146.80000000000001</v>
      </c>
      <c r="F26" s="8">
        <v>72.8</v>
      </c>
    </row>
    <row r="27" spans="1:6" ht="14.4" x14ac:dyDescent="0.3">
      <c r="A27" s="7" t="s">
        <v>39</v>
      </c>
      <c r="B27" s="12">
        <v>51.8</v>
      </c>
      <c r="C27" s="12">
        <v>156.4</v>
      </c>
      <c r="D27" s="12">
        <v>93.1</v>
      </c>
      <c r="E27" s="12">
        <v>156.4</v>
      </c>
      <c r="F27" s="8">
        <v>77.2</v>
      </c>
    </row>
    <row r="28" spans="1:6" ht="14.4" x14ac:dyDescent="0.3">
      <c r="A28" s="19" t="s">
        <v>82</v>
      </c>
      <c r="B28" s="31">
        <f>MIN(B6:B27)</f>
        <v>-1</v>
      </c>
      <c r="C28" s="31">
        <f>MIN(C6:C27)</f>
        <v>-1</v>
      </c>
      <c r="D28" s="31">
        <f>MIN(D6:D27)</f>
        <v>-1</v>
      </c>
      <c r="E28" s="31">
        <f>MIN(E6:E27)</f>
        <v>-1</v>
      </c>
      <c r="F28" s="31">
        <f>MIN(F6:F27)</f>
        <v>-1</v>
      </c>
    </row>
    <row r="29" spans="1:6" ht="14.4" x14ac:dyDescent="0.3">
      <c r="A29" s="19" t="s">
        <v>83</v>
      </c>
      <c r="B29" s="31">
        <f>MAX(B6:B27)</f>
        <v>51.8</v>
      </c>
      <c r="C29" s="31">
        <f>MAX(C6:C27)</f>
        <v>156.4</v>
      </c>
      <c r="D29" s="31">
        <f>MAX(D6:D27)</f>
        <v>93.1</v>
      </c>
      <c r="E29" s="31">
        <f>MAX(E6:E27)</f>
        <v>156.4</v>
      </c>
      <c r="F29" s="31">
        <f>MAX(F6:F27)</f>
        <v>77.2</v>
      </c>
    </row>
    <row r="30" spans="1:6" ht="14.4" x14ac:dyDescent="0.3">
      <c r="A30" s="19" t="s">
        <v>84</v>
      </c>
      <c r="B30" s="31">
        <f>AVERAGE(B6:B27)</f>
        <v>20.827272727272728</v>
      </c>
      <c r="C30" s="31">
        <f>AVERAGE(C6:C27)</f>
        <v>62.377272727272725</v>
      </c>
      <c r="D30" s="31">
        <f>AVERAGE(D6:D27)</f>
        <v>37.800000000000004</v>
      </c>
      <c r="E30" s="31">
        <f>AVERAGE(E6:E27)</f>
        <v>62.377272727272725</v>
      </c>
      <c r="F30" s="31">
        <f>AVERAGE(F6:F27)</f>
        <v>30.831818181818186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Z54"/>
  <sheetViews>
    <sheetView zoomScaleNormal="100" workbookViewId="0">
      <selection activeCell="B6" sqref="B6:G6"/>
    </sheetView>
  </sheetViews>
  <sheetFormatPr defaultColWidth="11" defaultRowHeight="14.4" x14ac:dyDescent="0.3"/>
  <cols>
    <col min="1" max="1" width="39.77734375" style="1" bestFit="1" customWidth="1"/>
    <col min="2" max="2" width="13.33203125" style="1" customWidth="1"/>
    <col min="3" max="16384" width="11" style="1"/>
  </cols>
  <sheetData>
    <row r="1" spans="1:26" s="41" customFormat="1" ht="21" x14ac:dyDescent="0.4">
      <c r="A1" s="42" t="s">
        <v>56</v>
      </c>
      <c r="B1" s="41" t="s">
        <v>173</v>
      </c>
    </row>
    <row r="2" spans="1:26" customFormat="1" ht="13.2" x14ac:dyDescent="0.25"/>
    <row r="3" spans="1:26" s="2" customFormat="1" x14ac:dyDescent="0.3">
      <c r="B3" s="1"/>
    </row>
    <row r="4" spans="1:26" s="2" customFormat="1" x14ac:dyDescent="0.3">
      <c r="B4" s="1" t="s">
        <v>150</v>
      </c>
    </row>
    <row r="5" spans="1:26" ht="18" x14ac:dyDescent="0.35">
      <c r="A5" s="43" t="s">
        <v>53</v>
      </c>
      <c r="B5" s="40" t="s">
        <v>180</v>
      </c>
    </row>
    <row r="6" spans="1:26" ht="90" customHeight="1" x14ac:dyDescent="0.35">
      <c r="A6" s="48" t="s">
        <v>182</v>
      </c>
      <c r="B6" s="49" t="s">
        <v>181</v>
      </c>
      <c r="C6" s="49"/>
      <c r="D6" s="49"/>
      <c r="E6" s="49"/>
      <c r="F6" s="49"/>
      <c r="G6" s="49"/>
      <c r="H6" s="40"/>
      <c r="I6" s="40"/>
      <c r="J6" s="40"/>
      <c r="K6" s="40"/>
      <c r="L6" s="40"/>
      <c r="M6" s="40"/>
      <c r="N6" s="40"/>
      <c r="O6" s="40"/>
      <c r="P6" s="40"/>
      <c r="Q6" s="40"/>
      <c r="R6" s="40"/>
      <c r="S6" s="40"/>
      <c r="T6" s="40"/>
      <c r="U6" s="40"/>
      <c r="V6" s="40"/>
      <c r="W6" s="40"/>
      <c r="X6" s="40"/>
      <c r="Y6" s="40"/>
      <c r="Z6" s="40"/>
    </row>
    <row r="7" spans="1:26" ht="18" x14ac:dyDescent="0.35">
      <c r="A7" s="43"/>
      <c r="B7" s="40"/>
    </row>
    <row r="9" spans="1:26" ht="23.4" x14ac:dyDescent="0.45">
      <c r="A9" s="18" t="s">
        <v>164</v>
      </c>
      <c r="I9" s="2"/>
      <c r="J9" s="2"/>
    </row>
    <row r="10" spans="1:26" x14ac:dyDescent="0.3">
      <c r="A10" s="33" t="s">
        <v>102</v>
      </c>
      <c r="B10" s="17" t="s">
        <v>49</v>
      </c>
      <c r="C10" s="17" t="s">
        <v>50</v>
      </c>
      <c r="D10" s="17" t="s">
        <v>51</v>
      </c>
      <c r="E10" s="17" t="s">
        <v>52</v>
      </c>
      <c r="F10" s="17" t="s">
        <v>54</v>
      </c>
      <c r="I10" s="2"/>
      <c r="J10" s="2"/>
    </row>
    <row r="11" spans="1:26" x14ac:dyDescent="0.3">
      <c r="A11" s="9" t="s">
        <v>120</v>
      </c>
      <c r="B11" s="13">
        <v>20000</v>
      </c>
      <c r="C11" s="13" t="s">
        <v>5</v>
      </c>
      <c r="D11" s="13">
        <v>0</v>
      </c>
      <c r="E11" s="11" t="s">
        <v>6</v>
      </c>
      <c r="F11" s="11">
        <v>24</v>
      </c>
      <c r="I11" s="2"/>
      <c r="J11" s="2"/>
    </row>
    <row r="14" spans="1:26" ht="23.4" x14ac:dyDescent="0.45">
      <c r="A14" s="18" t="s">
        <v>161</v>
      </c>
    </row>
    <row r="15" spans="1:26" x14ac:dyDescent="0.3">
      <c r="A15" s="14" t="s">
        <v>103</v>
      </c>
      <c r="B15" s="17" t="s">
        <v>49</v>
      </c>
      <c r="C15" s="15" t="s">
        <v>50</v>
      </c>
      <c r="D15" s="17" t="s">
        <v>51</v>
      </c>
      <c r="E15" s="15" t="s">
        <v>52</v>
      </c>
      <c r="F15" s="17" t="s">
        <v>54</v>
      </c>
    </row>
    <row r="16" spans="1:26" x14ac:dyDescent="0.3">
      <c r="A16" s="7" t="s">
        <v>120</v>
      </c>
      <c r="B16" s="12">
        <v>20000</v>
      </c>
      <c r="C16" s="1" t="s">
        <v>5</v>
      </c>
      <c r="D16" s="12">
        <v>0</v>
      </c>
      <c r="E16" s="1" t="s">
        <v>6</v>
      </c>
      <c r="F16" s="12">
        <v>24</v>
      </c>
    </row>
    <row r="17" spans="1:6" x14ac:dyDescent="0.3">
      <c r="A17" s="7" t="s">
        <v>121</v>
      </c>
      <c r="B17" s="12">
        <v>20002</v>
      </c>
      <c r="C17" s="1" t="s">
        <v>5</v>
      </c>
      <c r="D17" s="12">
        <v>0</v>
      </c>
      <c r="E17" s="1" t="s">
        <v>6</v>
      </c>
      <c r="F17" s="12">
        <v>24</v>
      </c>
    </row>
    <row r="18" spans="1:6" x14ac:dyDescent="0.3">
      <c r="A18" s="7" t="s">
        <v>122</v>
      </c>
      <c r="B18" s="12">
        <v>20004</v>
      </c>
      <c r="C18" s="1" t="s">
        <v>5</v>
      </c>
      <c r="D18" s="12">
        <v>0</v>
      </c>
      <c r="E18" s="1" t="s">
        <v>6</v>
      </c>
      <c r="F18" s="12">
        <v>24</v>
      </c>
    </row>
    <row r="19" spans="1:6" x14ac:dyDescent="0.3">
      <c r="A19" s="7" t="s">
        <v>123</v>
      </c>
      <c r="B19" s="12">
        <v>20006</v>
      </c>
      <c r="C19" s="1" t="s">
        <v>5</v>
      </c>
      <c r="D19" s="12">
        <v>0</v>
      </c>
      <c r="E19" s="1" t="s">
        <v>6</v>
      </c>
      <c r="F19" s="12">
        <v>24</v>
      </c>
    </row>
    <row r="20" spans="1:6" x14ac:dyDescent="0.3">
      <c r="A20" s="7" t="s">
        <v>124</v>
      </c>
      <c r="B20" s="12">
        <v>20008</v>
      </c>
      <c r="C20" s="1" t="s">
        <v>5</v>
      </c>
      <c r="D20" s="12">
        <v>0</v>
      </c>
      <c r="E20" s="1" t="s">
        <v>6</v>
      </c>
      <c r="F20" s="12">
        <v>24</v>
      </c>
    </row>
    <row r="21" spans="1:6" x14ac:dyDescent="0.3">
      <c r="A21" s="7" t="s">
        <v>125</v>
      </c>
      <c r="B21" s="12">
        <v>20010</v>
      </c>
      <c r="C21" s="1" t="s">
        <v>5</v>
      </c>
      <c r="D21" s="12">
        <v>0</v>
      </c>
      <c r="E21" s="1" t="s">
        <v>6</v>
      </c>
      <c r="F21" s="12">
        <v>24</v>
      </c>
    </row>
    <row r="22" spans="1:6" x14ac:dyDescent="0.3">
      <c r="A22" s="7" t="s">
        <v>126</v>
      </c>
      <c r="B22" s="12">
        <v>20012</v>
      </c>
      <c r="C22" s="1" t="s">
        <v>5</v>
      </c>
      <c r="D22" s="12">
        <v>0</v>
      </c>
      <c r="E22" s="1" t="s">
        <v>6</v>
      </c>
      <c r="F22" s="12">
        <v>24</v>
      </c>
    </row>
    <row r="23" spans="1:6" x14ac:dyDescent="0.3">
      <c r="A23" s="7" t="s">
        <v>127</v>
      </c>
      <c r="B23" s="12">
        <v>20014</v>
      </c>
      <c r="C23" s="1" t="s">
        <v>5</v>
      </c>
      <c r="D23" s="12">
        <v>0</v>
      </c>
      <c r="E23" s="1" t="s">
        <v>6</v>
      </c>
      <c r="F23" s="12">
        <v>24</v>
      </c>
    </row>
    <row r="24" spans="1:6" x14ac:dyDescent="0.3">
      <c r="A24" s="7" t="s">
        <v>128</v>
      </c>
      <c r="B24" s="12">
        <v>20016</v>
      </c>
      <c r="C24" s="1" t="s">
        <v>5</v>
      </c>
      <c r="D24" s="12">
        <v>0</v>
      </c>
      <c r="E24" s="1" t="s">
        <v>6</v>
      </c>
      <c r="F24" s="12">
        <v>24</v>
      </c>
    </row>
    <row r="25" spans="1:6" x14ac:dyDescent="0.3">
      <c r="A25" s="7" t="s">
        <v>129</v>
      </c>
      <c r="B25" s="12">
        <v>20018</v>
      </c>
      <c r="C25" s="1" t="s">
        <v>5</v>
      </c>
      <c r="D25" s="12">
        <v>0</v>
      </c>
      <c r="E25" s="1" t="s">
        <v>6</v>
      </c>
      <c r="F25" s="12">
        <v>24</v>
      </c>
    </row>
    <row r="26" spans="1:6" x14ac:dyDescent="0.3">
      <c r="A26" s="7" t="s">
        <v>130</v>
      </c>
      <c r="B26" s="12">
        <v>20020</v>
      </c>
      <c r="C26" s="1" t="s">
        <v>5</v>
      </c>
      <c r="D26" s="12">
        <v>0</v>
      </c>
      <c r="E26" s="1" t="s">
        <v>6</v>
      </c>
      <c r="F26" s="12">
        <v>24</v>
      </c>
    </row>
    <row r="27" spans="1:6" x14ac:dyDescent="0.3">
      <c r="A27" s="7" t="s">
        <v>131</v>
      </c>
      <c r="B27" s="12">
        <v>20022</v>
      </c>
      <c r="C27" s="1" t="s">
        <v>5</v>
      </c>
      <c r="D27" s="12">
        <v>0</v>
      </c>
      <c r="E27" s="1" t="s">
        <v>6</v>
      </c>
      <c r="F27" s="12">
        <v>24</v>
      </c>
    </row>
    <row r="28" spans="1:6" x14ac:dyDescent="0.3">
      <c r="A28" s="7" t="s">
        <v>132</v>
      </c>
      <c r="B28" s="12">
        <v>20024</v>
      </c>
      <c r="C28" s="1" t="s">
        <v>5</v>
      </c>
      <c r="D28" s="12">
        <v>0</v>
      </c>
      <c r="E28" s="1" t="s">
        <v>6</v>
      </c>
      <c r="F28" s="12">
        <v>24</v>
      </c>
    </row>
    <row r="29" spans="1:6" x14ac:dyDescent="0.3">
      <c r="A29" s="7" t="s">
        <v>133</v>
      </c>
      <c r="B29" s="12">
        <v>20026</v>
      </c>
      <c r="C29" s="1" t="s">
        <v>5</v>
      </c>
      <c r="D29" s="12">
        <v>0</v>
      </c>
      <c r="E29" s="1" t="s">
        <v>6</v>
      </c>
      <c r="F29" s="12">
        <v>24</v>
      </c>
    </row>
    <row r="30" spans="1:6" x14ac:dyDescent="0.3">
      <c r="A30" s="7" t="s">
        <v>134</v>
      </c>
      <c r="B30" s="12">
        <v>20028</v>
      </c>
      <c r="C30" s="1" t="s">
        <v>5</v>
      </c>
      <c r="D30" s="12">
        <v>0</v>
      </c>
      <c r="E30" s="1" t="s">
        <v>6</v>
      </c>
      <c r="F30" s="12">
        <v>24</v>
      </c>
    </row>
    <row r="31" spans="1:6" x14ac:dyDescent="0.3">
      <c r="A31" s="7" t="s">
        <v>135</v>
      </c>
      <c r="B31" s="12">
        <v>20030</v>
      </c>
      <c r="C31" s="1" t="s">
        <v>5</v>
      </c>
      <c r="D31" s="12">
        <v>0</v>
      </c>
      <c r="E31" s="1" t="s">
        <v>6</v>
      </c>
      <c r="F31" s="12">
        <v>24</v>
      </c>
    </row>
    <row r="32" spans="1:6" x14ac:dyDescent="0.3">
      <c r="A32" s="7" t="s">
        <v>136</v>
      </c>
      <c r="B32" s="12">
        <v>20032</v>
      </c>
      <c r="C32" s="1" t="s">
        <v>5</v>
      </c>
      <c r="D32" s="12">
        <v>0</v>
      </c>
      <c r="E32" s="1" t="s">
        <v>6</v>
      </c>
      <c r="F32" s="12">
        <v>24</v>
      </c>
    </row>
    <row r="33" spans="1:6" x14ac:dyDescent="0.3">
      <c r="A33" s="7" t="s">
        <v>137</v>
      </c>
      <c r="B33" s="12">
        <v>20034</v>
      </c>
      <c r="C33" s="1" t="s">
        <v>5</v>
      </c>
      <c r="D33" s="12">
        <v>0</v>
      </c>
      <c r="E33" s="1" t="s">
        <v>6</v>
      </c>
      <c r="F33" s="12">
        <v>24</v>
      </c>
    </row>
    <row r="34" spans="1:6" x14ac:dyDescent="0.3">
      <c r="A34" s="7" t="s">
        <v>138</v>
      </c>
      <c r="B34" s="12">
        <v>20036</v>
      </c>
      <c r="C34" s="1" t="s">
        <v>5</v>
      </c>
      <c r="D34" s="12">
        <v>0</v>
      </c>
      <c r="E34" s="1" t="s">
        <v>6</v>
      </c>
      <c r="F34" s="12">
        <v>24</v>
      </c>
    </row>
    <row r="35" spans="1:6" x14ac:dyDescent="0.3">
      <c r="A35" s="7" t="s">
        <v>139</v>
      </c>
      <c r="B35" s="12">
        <v>20038</v>
      </c>
      <c r="C35" s="1" t="s">
        <v>5</v>
      </c>
      <c r="D35" s="12">
        <v>0</v>
      </c>
      <c r="E35" s="1" t="s">
        <v>6</v>
      </c>
      <c r="F35" s="12">
        <v>24</v>
      </c>
    </row>
    <row r="36" spans="1:6" x14ac:dyDescent="0.3">
      <c r="A36" s="7" t="s">
        <v>140</v>
      </c>
      <c r="B36" s="12">
        <v>20040</v>
      </c>
      <c r="C36" s="1" t="s">
        <v>5</v>
      </c>
      <c r="D36" s="12">
        <v>0</v>
      </c>
      <c r="E36" s="1" t="s">
        <v>6</v>
      </c>
      <c r="F36" s="12">
        <v>24</v>
      </c>
    </row>
    <row r="37" spans="1:6" x14ac:dyDescent="0.3">
      <c r="A37" s="7" t="s">
        <v>141</v>
      </c>
      <c r="B37" s="12">
        <v>20042</v>
      </c>
      <c r="C37" s="1" t="s">
        <v>5</v>
      </c>
      <c r="D37" s="12">
        <v>0</v>
      </c>
      <c r="E37" s="1" t="s">
        <v>6</v>
      </c>
      <c r="F37" s="12">
        <v>24</v>
      </c>
    </row>
    <row r="38" spans="1:6" x14ac:dyDescent="0.3">
      <c r="A38" s="7" t="s">
        <v>142</v>
      </c>
      <c r="B38" s="12">
        <v>20044</v>
      </c>
      <c r="C38" s="1" t="s">
        <v>5</v>
      </c>
      <c r="D38" s="12">
        <v>0</v>
      </c>
      <c r="E38" s="1" t="s">
        <v>6</v>
      </c>
      <c r="F38" s="12">
        <v>24</v>
      </c>
    </row>
    <row r="39" spans="1:6" x14ac:dyDescent="0.3">
      <c r="A39" s="7" t="s">
        <v>143</v>
      </c>
      <c r="B39" s="12">
        <v>20046</v>
      </c>
      <c r="C39" s="1" t="s">
        <v>5</v>
      </c>
      <c r="D39" s="12">
        <v>0</v>
      </c>
      <c r="E39" s="1" t="s">
        <v>6</v>
      </c>
      <c r="F39" s="12">
        <v>24</v>
      </c>
    </row>
    <row r="40" spans="1:6" x14ac:dyDescent="0.3">
      <c r="A40" s="7" t="s">
        <v>144</v>
      </c>
      <c r="B40" s="12">
        <v>20048</v>
      </c>
      <c r="C40" s="1" t="s">
        <v>5</v>
      </c>
      <c r="D40" s="12">
        <v>0</v>
      </c>
      <c r="E40" s="1" t="s">
        <v>6</v>
      </c>
      <c r="F40" s="12">
        <v>24</v>
      </c>
    </row>
    <row r="41" spans="1:6" x14ac:dyDescent="0.3">
      <c r="A41" s="7" t="s">
        <v>145</v>
      </c>
      <c r="B41" s="12">
        <v>20050</v>
      </c>
      <c r="C41" s="1" t="s">
        <v>5</v>
      </c>
      <c r="D41" s="12">
        <v>0</v>
      </c>
      <c r="E41" s="1" t="s">
        <v>6</v>
      </c>
      <c r="F41" s="12">
        <v>24</v>
      </c>
    </row>
    <row r="42" spans="1:6" x14ac:dyDescent="0.3">
      <c r="A42" s="7" t="s">
        <v>146</v>
      </c>
      <c r="B42" s="12">
        <v>20052</v>
      </c>
      <c r="C42" s="1" t="s">
        <v>5</v>
      </c>
      <c r="D42" s="12">
        <v>0</v>
      </c>
      <c r="E42" s="1" t="s">
        <v>6</v>
      </c>
      <c r="F42" s="12">
        <v>24</v>
      </c>
    </row>
    <row r="43" spans="1:6" x14ac:dyDescent="0.3">
      <c r="A43" s="7" t="s">
        <v>147</v>
      </c>
      <c r="B43" s="12">
        <v>20054</v>
      </c>
      <c r="C43" s="1" t="s">
        <v>5</v>
      </c>
      <c r="D43" s="12">
        <v>0</v>
      </c>
      <c r="E43" s="1" t="s">
        <v>6</v>
      </c>
      <c r="F43" s="12">
        <v>24</v>
      </c>
    </row>
    <row r="44" spans="1:6" x14ac:dyDescent="0.3">
      <c r="A44" s="7" t="s">
        <v>148</v>
      </c>
      <c r="B44" s="12">
        <v>20058</v>
      </c>
      <c r="C44" s="1" t="s">
        <v>5</v>
      </c>
      <c r="D44" s="12">
        <v>0</v>
      </c>
      <c r="E44" s="1" t="s">
        <v>6</v>
      </c>
      <c r="F44" s="12">
        <v>24</v>
      </c>
    </row>
    <row r="45" spans="1:6" x14ac:dyDescent="0.3">
      <c r="A45" s="7" t="s">
        <v>149</v>
      </c>
      <c r="B45" s="12">
        <v>20060</v>
      </c>
      <c r="C45" s="1" t="s">
        <v>5</v>
      </c>
      <c r="D45" s="12">
        <v>0</v>
      </c>
      <c r="E45" s="1" t="s">
        <v>6</v>
      </c>
      <c r="F45" s="12">
        <v>24</v>
      </c>
    </row>
    <row r="46" spans="1:6" x14ac:dyDescent="0.3">
      <c r="A46" s="7" t="s">
        <v>111</v>
      </c>
      <c r="B46" s="12">
        <v>21000</v>
      </c>
      <c r="C46" s="1" t="s">
        <v>5</v>
      </c>
      <c r="D46" s="12">
        <v>0</v>
      </c>
      <c r="E46" s="1" t="s">
        <v>6</v>
      </c>
      <c r="F46" s="12">
        <v>24</v>
      </c>
    </row>
    <row r="47" spans="1:6" x14ac:dyDescent="0.3">
      <c r="A47" s="7" t="s">
        <v>112</v>
      </c>
      <c r="B47" s="12">
        <v>21002</v>
      </c>
      <c r="C47" s="1" t="s">
        <v>5</v>
      </c>
      <c r="D47" s="12">
        <v>0</v>
      </c>
      <c r="E47" s="1" t="s">
        <v>6</v>
      </c>
      <c r="F47" s="12">
        <v>24</v>
      </c>
    </row>
    <row r="48" spans="1:6" x14ac:dyDescent="0.3">
      <c r="A48" s="7" t="s">
        <v>113</v>
      </c>
      <c r="B48" s="12">
        <v>21004</v>
      </c>
      <c r="C48" s="1" t="s">
        <v>5</v>
      </c>
      <c r="D48" s="12">
        <v>0</v>
      </c>
      <c r="E48" s="1" t="s">
        <v>6</v>
      </c>
      <c r="F48" s="12">
        <v>24</v>
      </c>
    </row>
    <row r="49" spans="1:6" x14ac:dyDescent="0.3">
      <c r="A49" s="7" t="s">
        <v>114</v>
      </c>
      <c r="B49" s="12">
        <v>21006</v>
      </c>
      <c r="C49" s="1" t="s">
        <v>5</v>
      </c>
      <c r="D49" s="12">
        <v>0</v>
      </c>
      <c r="E49" s="1" t="s">
        <v>6</v>
      </c>
      <c r="F49" s="12">
        <v>24</v>
      </c>
    </row>
    <row r="50" spans="1:6" x14ac:dyDescent="0.3">
      <c r="A50" s="7" t="s">
        <v>115</v>
      </c>
      <c r="B50" s="12">
        <v>21008</v>
      </c>
      <c r="C50" s="1" t="s">
        <v>5</v>
      </c>
      <c r="D50" s="12">
        <v>0</v>
      </c>
      <c r="E50" s="1" t="s">
        <v>6</v>
      </c>
      <c r="F50" s="12">
        <v>24</v>
      </c>
    </row>
    <row r="51" spans="1:6" x14ac:dyDescent="0.3">
      <c r="A51" s="7" t="s">
        <v>116</v>
      </c>
      <c r="B51" s="12">
        <v>21010</v>
      </c>
      <c r="C51" s="1" t="s">
        <v>5</v>
      </c>
      <c r="D51" s="12">
        <v>0</v>
      </c>
      <c r="E51" s="1" t="s">
        <v>6</v>
      </c>
      <c r="F51" s="12">
        <v>24</v>
      </c>
    </row>
    <row r="52" spans="1:6" x14ac:dyDescent="0.3">
      <c r="A52" s="7" t="s">
        <v>117</v>
      </c>
      <c r="B52" s="12">
        <v>21012</v>
      </c>
      <c r="C52" s="1" t="s">
        <v>5</v>
      </c>
      <c r="D52" s="12">
        <v>0</v>
      </c>
      <c r="E52" s="1" t="s">
        <v>6</v>
      </c>
      <c r="F52" s="12">
        <v>24</v>
      </c>
    </row>
    <row r="53" spans="1:6" x14ac:dyDescent="0.3">
      <c r="A53" s="7" t="s">
        <v>118</v>
      </c>
      <c r="B53" s="12">
        <v>21014</v>
      </c>
      <c r="C53" s="1" t="s">
        <v>5</v>
      </c>
      <c r="D53" s="12">
        <v>0</v>
      </c>
      <c r="E53" s="1" t="s">
        <v>6</v>
      </c>
      <c r="F53" s="12">
        <v>24</v>
      </c>
    </row>
    <row r="54" spans="1:6" x14ac:dyDescent="0.3">
      <c r="A54" s="9" t="s">
        <v>119</v>
      </c>
      <c r="B54" s="13">
        <v>21016</v>
      </c>
      <c r="C54" s="10" t="s">
        <v>5</v>
      </c>
      <c r="D54" s="13">
        <v>0</v>
      </c>
      <c r="E54" s="10" t="s">
        <v>6</v>
      </c>
      <c r="F54" s="13">
        <v>24</v>
      </c>
    </row>
  </sheetData>
  <mergeCells count="1">
    <mergeCell ref="B6:G6"/>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abSelected="1" zoomScaleNormal="100" workbookViewId="0">
      <selection activeCell="E13" sqref="E13"/>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166</v>
      </c>
    </row>
    <row r="2" spans="1:3" ht="18" x14ac:dyDescent="0.35">
      <c r="B2" s="40" t="s">
        <v>165</v>
      </c>
    </row>
    <row r="5" spans="1:3" ht="14.4" x14ac:dyDescent="0.3">
      <c r="B5" s="1" t="s">
        <v>150</v>
      </c>
    </row>
    <row r="6" spans="1:3" ht="14.4" x14ac:dyDescent="0.3">
      <c r="A6" s="3" t="s">
        <v>53</v>
      </c>
      <c r="B6" s="1" t="s">
        <v>178</v>
      </c>
    </row>
    <row r="7" spans="1:3" ht="14.4" x14ac:dyDescent="0.3">
      <c r="A7" s="3" t="s">
        <v>152</v>
      </c>
      <c r="B7" s="1" t="s">
        <v>179</v>
      </c>
    </row>
    <row r="10" spans="1:3" ht="23.4" x14ac:dyDescent="0.45">
      <c r="A10" s="18" t="s">
        <v>161</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153</v>
      </c>
      <c r="C17" s="17">
        <v>150</v>
      </c>
    </row>
    <row r="18" spans="1:3" ht="14.4" x14ac:dyDescent="0.3">
      <c r="A18" s="32">
        <v>44933</v>
      </c>
      <c r="B18" s="17" t="s">
        <v>154</v>
      </c>
      <c r="C18" s="17">
        <v>80</v>
      </c>
    </row>
    <row r="19" spans="1:3" ht="14.4" x14ac:dyDescent="0.3">
      <c r="A19" s="32">
        <v>44934</v>
      </c>
      <c r="B19" s="17" t="s">
        <v>155</v>
      </c>
      <c r="C19" s="17" t="e">
        <v>#N/A</v>
      </c>
    </row>
    <row r="20" spans="1:3" ht="14.4" x14ac:dyDescent="0.3">
      <c r="A20" s="32">
        <v>44935</v>
      </c>
      <c r="B20" s="17" t="s">
        <v>156</v>
      </c>
      <c r="C20" s="17">
        <v>30</v>
      </c>
    </row>
    <row r="21" spans="1:3" ht="14.4" x14ac:dyDescent="0.3">
      <c r="A21" s="32">
        <v>44936</v>
      </c>
      <c r="B21" s="17" t="s">
        <v>157</v>
      </c>
      <c r="C21" s="17" t="e">
        <v>#N/A</v>
      </c>
    </row>
    <row r="22" spans="1:3" ht="14.4" x14ac:dyDescent="0.3">
      <c r="B22" s="17" t="s">
        <v>158</v>
      </c>
      <c r="C22" s="25">
        <f>SUMIF(C12:C21, "&lt;&gt;#N/A", C12:C21) + COUNTIF(C12:C21, "#N/A") *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16" zoomScale="80" zoomScaleNormal="80" workbookViewId="0">
      <selection activeCell="C23" sqref="C23"/>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53</v>
      </c>
      <c r="B4" s="1"/>
    </row>
    <row r="5" spans="1:14" ht="18" x14ac:dyDescent="0.35">
      <c r="A5" s="43" t="s">
        <v>152</v>
      </c>
      <c r="B5" s="1"/>
    </row>
    <row r="6" spans="1:14" ht="14.4" x14ac:dyDescent="0.3">
      <c r="A6" s="3"/>
      <c r="B6" s="1"/>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44"/>
    </row>
    <row r="24" spans="1:14" ht="14.4" x14ac:dyDescent="0.3">
      <c r="A24" s="7">
        <v>10100</v>
      </c>
      <c r="B24" s="12">
        <v>10104</v>
      </c>
      <c r="C24" s="44"/>
    </row>
    <row r="25" spans="1:14" ht="14.4" x14ac:dyDescent="0.3">
      <c r="A25" s="7">
        <v>10108</v>
      </c>
      <c r="B25" s="12">
        <v>10102</v>
      </c>
      <c r="C25" s="44"/>
    </row>
    <row r="26" spans="1:14" ht="14.4" x14ac:dyDescent="0.3">
      <c r="A26" s="7">
        <v>10100</v>
      </c>
      <c r="B26" s="12">
        <v>10106</v>
      </c>
      <c r="C26" s="44"/>
    </row>
    <row r="27" spans="1:14" ht="14.4" x14ac:dyDescent="0.3">
      <c r="A27" s="7">
        <v>10108</v>
      </c>
      <c r="B27" s="12">
        <v>10110</v>
      </c>
      <c r="C27" s="44"/>
    </row>
    <row r="28" spans="1:14" ht="14.4" x14ac:dyDescent="0.3">
      <c r="A28" s="7">
        <v>10102</v>
      </c>
      <c r="B28" s="12">
        <v>10104</v>
      </c>
      <c r="C28" s="44"/>
    </row>
    <row r="29" spans="1:14" ht="14.4" x14ac:dyDescent="0.3">
      <c r="A29" s="7">
        <v>10106</v>
      </c>
      <c r="B29" s="12">
        <v>10108</v>
      </c>
      <c r="C29" s="44"/>
    </row>
    <row r="30" spans="1:14" ht="14.4" x14ac:dyDescent="0.3">
      <c r="A30" s="7">
        <v>10102</v>
      </c>
      <c r="B30" s="12">
        <v>10106</v>
      </c>
      <c r="C30" s="44"/>
    </row>
    <row r="31" spans="1:14" ht="14.4" x14ac:dyDescent="0.3">
      <c r="A31" s="7">
        <v>10110</v>
      </c>
      <c r="B31" s="12">
        <v>10114</v>
      </c>
      <c r="C31" s="44"/>
    </row>
    <row r="32" spans="1:14" ht="14.4" x14ac:dyDescent="0.3">
      <c r="A32" s="7">
        <v>10104</v>
      </c>
      <c r="B32" s="12">
        <v>10106</v>
      </c>
      <c r="C32" s="44"/>
    </row>
    <row r="33" spans="1:3" ht="14.4" x14ac:dyDescent="0.3">
      <c r="A33" s="7">
        <v>10110</v>
      </c>
      <c r="B33" s="12">
        <v>10112</v>
      </c>
      <c r="C33" s="44"/>
    </row>
    <row r="34" spans="1:3" ht="14.4" x14ac:dyDescent="0.3">
      <c r="A34" s="7">
        <v>10100</v>
      </c>
      <c r="B34" s="12">
        <v>10114</v>
      </c>
      <c r="C34" s="44"/>
    </row>
    <row r="35" spans="1:3" ht="14.4" x14ac:dyDescent="0.3">
      <c r="A35" s="9">
        <v>10112</v>
      </c>
      <c r="B35" s="13">
        <v>10116</v>
      </c>
      <c r="C35"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Garvit Sharda</cp:lastModifiedBy>
  <dcterms:created xsi:type="dcterms:W3CDTF">2015-02-10T17:33:11Z</dcterms:created>
  <dcterms:modified xsi:type="dcterms:W3CDTF">2024-10-24T19:18:43Z</dcterms:modified>
</cp:coreProperties>
</file>